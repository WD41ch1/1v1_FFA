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3.TMIC-GAME1-025\Desktop\UnityProject\1v1_FFA\Assets\WorkSpace\shishido\ExcelData\Item\"/>
    </mc:Choice>
  </mc:AlternateContent>
  <xr:revisionPtr revIDLastSave="0" documentId="13_ncr:1_{F88E4F10-AFA9-46A5-B6BB-8171AA2A0675}" xr6:coauthVersionLast="47" xr6:coauthVersionMax="47" xr10:uidLastSave="{00000000-0000-0000-0000-000000000000}"/>
  <bookViews>
    <workbookView xWindow="135" yWindow="1110" windowWidth="21600" windowHeight="11835" xr2:uid="{00000000-000D-0000-FFFF-FFFF00000000}"/>
  </bookViews>
  <sheets>
    <sheet name="Items" sheetId="1" r:id="rId1"/>
    <sheet name="reference" sheetId="4" r:id="rId2"/>
  </sheets>
  <definedNames>
    <definedName name="reference">reference!$A$1,reference!$A$2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E7" i="1"/>
  <c r="F7" i="1"/>
  <c r="F3" i="1"/>
  <c r="F4" i="1"/>
  <c r="F5" i="1"/>
  <c r="F6" i="1"/>
  <c r="F2" i="1"/>
  <c r="E3" i="1"/>
  <c r="E4" i="1"/>
  <c r="E5" i="1"/>
  <c r="E6" i="1"/>
  <c r="E2" i="1"/>
  <c r="C2" i="1"/>
  <c r="C3" i="1"/>
  <c r="C4" i="1"/>
  <c r="C5" i="1"/>
  <c r="C6" i="1"/>
</calcChain>
</file>

<file path=xl/sharedStrings.xml><?xml version="1.0" encoding="utf-8"?>
<sst xmlns="http://schemas.openxmlformats.org/spreadsheetml/2006/main" count="17" uniqueCount="15">
  <si>
    <t>itemId</t>
    <phoneticPr fontId="1"/>
  </si>
  <si>
    <t>dataType</t>
    <phoneticPr fontId="1"/>
  </si>
  <si>
    <t>itemName</t>
    <phoneticPr fontId="1"/>
  </si>
  <si>
    <t>maxStack</t>
    <phoneticPr fontId="1"/>
  </si>
  <si>
    <t>Weapon</t>
  </si>
  <si>
    <t>HealingItem</t>
  </si>
  <si>
    <t>itemType</t>
    <phoneticPr fontId="1"/>
  </si>
  <si>
    <t>アサルトライフル</t>
    <phoneticPr fontId="1"/>
  </si>
  <si>
    <t>comment</t>
    <phoneticPr fontId="1"/>
  </si>
  <si>
    <t>Healing</t>
  </si>
  <si>
    <t>ピストル</t>
    <phoneticPr fontId="1"/>
  </si>
  <si>
    <t>ショットガン</t>
    <phoneticPr fontId="1"/>
  </si>
  <si>
    <t>サブマシンガン</t>
    <phoneticPr fontId="1"/>
  </si>
  <si>
    <t>包帯</t>
    <rPh sb="0" eb="2">
      <t>ホウタイ</t>
    </rPh>
    <phoneticPr fontId="1"/>
  </si>
  <si>
    <t>ミニポーション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</si>
</sst>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6" xfId="0" applyFill="1" applyBorder="1"/>
    <xf numFmtId="0" fontId="0" fillId="3" borderId="17" xfId="0" applyFill="1" applyBorder="1"/>
    <xf numFmtId="0" fontId="0" fillId="4" borderId="17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1" sqref="F11"/>
    </sheetView>
  </sheetViews>
  <sheetFormatPr defaultRowHeight="18.75"/>
  <cols>
    <col min="1" max="5" width="16.625" customWidth="1"/>
  </cols>
  <sheetData>
    <row r="1" spans="1:7" ht="19.5" thickBot="1">
      <c r="A1" s="13" t="s">
        <v>0</v>
      </c>
      <c r="B1" s="14" t="s">
        <v>1</v>
      </c>
      <c r="C1" s="15" t="s">
        <v>8</v>
      </c>
      <c r="D1" s="16" t="s">
        <v>2</v>
      </c>
      <c r="E1" s="16" t="s">
        <v>6</v>
      </c>
      <c r="F1" s="15" t="s">
        <v>8</v>
      </c>
      <c r="G1" s="17" t="s">
        <v>3</v>
      </c>
    </row>
    <row r="2" spans="1:7">
      <c r="A2" s="18">
        <v>1001</v>
      </c>
      <c r="B2" s="19">
        <v>0</v>
      </c>
      <c r="C2" s="19" t="str">
        <f>VLOOKUP(B2,reference!A:B,2,FALSE)</f>
        <v>Weapon</v>
      </c>
      <c r="D2" s="19" t="s">
        <v>7</v>
      </c>
      <c r="E2" s="19">
        <f>VLOOKUP(B2,reference!A:C,3,FALSE)</f>
        <v>0</v>
      </c>
      <c r="F2" s="19" t="str">
        <f>VLOOKUP(B2,reference!A:D,4,FALSE)</f>
        <v>Weapon</v>
      </c>
      <c r="G2" s="20">
        <v>1</v>
      </c>
    </row>
    <row r="3" spans="1:7">
      <c r="A3" s="2">
        <v>1002</v>
      </c>
      <c r="B3" s="1">
        <v>0</v>
      </c>
      <c r="C3" s="1" t="str">
        <f>VLOOKUP(B3,reference!A:B,2,FALSE)</f>
        <v>Weapon</v>
      </c>
      <c r="D3" s="1" t="s">
        <v>10</v>
      </c>
      <c r="E3" s="1">
        <f>VLOOKUP(B3,reference!A:C,3,FALSE)</f>
        <v>0</v>
      </c>
      <c r="F3" s="1" t="str">
        <f>VLOOKUP(B3,reference!A:D,4,FALSE)</f>
        <v>Weapon</v>
      </c>
      <c r="G3" s="3">
        <v>1</v>
      </c>
    </row>
    <row r="4" spans="1:7">
      <c r="A4" s="2">
        <v>1003</v>
      </c>
      <c r="B4" s="1">
        <v>0</v>
      </c>
      <c r="C4" s="1" t="str">
        <f>VLOOKUP(B4,reference!A:B,2,FALSE)</f>
        <v>Weapon</v>
      </c>
      <c r="D4" s="1" t="s">
        <v>11</v>
      </c>
      <c r="E4" s="1">
        <f>VLOOKUP(B4,reference!A:C,3,FALSE)</f>
        <v>0</v>
      </c>
      <c r="F4" s="1" t="str">
        <f>VLOOKUP(B4,reference!A:D,4,FALSE)</f>
        <v>Weapon</v>
      </c>
      <c r="G4" s="3">
        <v>1</v>
      </c>
    </row>
    <row r="5" spans="1:7">
      <c r="A5" s="2">
        <v>1004</v>
      </c>
      <c r="B5" s="1">
        <v>0</v>
      </c>
      <c r="C5" s="1" t="str">
        <f>VLOOKUP(B5,reference!A:B,2,FALSE)</f>
        <v>Weapon</v>
      </c>
      <c r="D5" s="1" t="s">
        <v>12</v>
      </c>
      <c r="E5" s="1">
        <f>VLOOKUP(B5,reference!A:C,3,FALSE)</f>
        <v>0</v>
      </c>
      <c r="F5" s="1" t="str">
        <f>VLOOKUP(B5,reference!A:D,4,FALSE)</f>
        <v>Weapon</v>
      </c>
      <c r="G5" s="3">
        <v>1</v>
      </c>
    </row>
    <row r="6" spans="1:7">
      <c r="A6" s="2">
        <v>2001</v>
      </c>
      <c r="B6" s="1">
        <v>1</v>
      </c>
      <c r="C6" s="1" t="str">
        <f>VLOOKUP(B6,reference!A:B,2,FALSE)</f>
        <v>HealingItem</v>
      </c>
      <c r="D6" s="1" t="s">
        <v>13</v>
      </c>
      <c r="E6" s="1">
        <f>VLOOKUP(B6,reference!A:C,3,FALSE)</f>
        <v>1</v>
      </c>
      <c r="F6" s="1" t="str">
        <f>VLOOKUP(B6,reference!A:D,4,FALSE)</f>
        <v>Healing</v>
      </c>
      <c r="G6" s="3">
        <v>10</v>
      </c>
    </row>
    <row r="7" spans="1:7" ht="19.5" thickBot="1">
      <c r="A7" s="4">
        <v>2002</v>
      </c>
      <c r="B7" s="5">
        <v>1</v>
      </c>
      <c r="C7" s="5" t="str">
        <f>VLOOKUP(B7,reference!A:B,2,FALSE)</f>
        <v>HealingItem</v>
      </c>
      <c r="D7" s="5" t="s">
        <v>14</v>
      </c>
      <c r="E7" s="5">
        <f>VLOOKUP(B7,reference!A:C,3,FALSE)</f>
        <v>1</v>
      </c>
      <c r="F7" s="5" t="str">
        <f>VLOOKUP(B7,reference!A:D,4,FALSE)</f>
        <v>Healing</v>
      </c>
      <c r="G7" s="6">
        <v>6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09C67B-9DB8-4C07-BD01-A2507E930A51}">
          <x14:formula1>
            <xm:f>reference!$A:$A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74DB-A121-4487-AF52-6EE061FB5771}">
  <dimension ref="A1:D2"/>
  <sheetViews>
    <sheetView workbookViewId="0">
      <selection activeCell="L13" sqref="L13"/>
    </sheetView>
  </sheetViews>
  <sheetFormatPr defaultRowHeight="18.75"/>
  <cols>
    <col min="12" max="12" width="14.5" customWidth="1"/>
  </cols>
  <sheetData>
    <row r="1" spans="1:4">
      <c r="A1" s="7">
        <v>0</v>
      </c>
      <c r="B1" s="8" t="s">
        <v>4</v>
      </c>
      <c r="C1" s="8">
        <v>0</v>
      </c>
      <c r="D1" s="9" t="s">
        <v>4</v>
      </c>
    </row>
    <row r="2" spans="1:4" ht="19.5" thickBot="1">
      <c r="A2" s="10">
        <v>1</v>
      </c>
      <c r="B2" s="11" t="s">
        <v>5</v>
      </c>
      <c r="C2" s="11">
        <v>1</v>
      </c>
      <c r="D2" s="12" t="s">
        <v>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Items</vt:lpstr>
      <vt:lpstr>reference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2015-06-05T18:19:34Z</dcterms:created>
  <dcterms:modified xsi:type="dcterms:W3CDTF">2026-10-21T05:23:23Z</dcterms:modified>
</cp:coreProperties>
</file>