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3.TMIC-GAME1-025\Desktop\卒業制作\"/>
    </mc:Choice>
  </mc:AlternateContent>
  <xr:revisionPtr revIDLastSave="0" documentId="13_ncr:1_{F3827E14-DEAA-4FB8-9C92-7F1C100D93A4}" xr6:coauthVersionLast="47" xr6:coauthVersionMax="47" xr10:uidLastSave="{00000000-0000-0000-0000-000000000000}"/>
  <bookViews>
    <workbookView xWindow="5490" yWindow="2475" windowWidth="21600" windowHeight="11835" xr2:uid="{00000000-000D-0000-FFFF-FFFF00000000}"/>
  </bookViews>
  <sheets>
    <sheet name="Weapons" sheetId="1" r:id="rId1"/>
    <sheet name="refer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4" i="1"/>
  <c r="H5" i="1"/>
  <c r="D3" i="1"/>
  <c r="D4" i="1"/>
  <c r="D5" i="1"/>
  <c r="H2" i="1"/>
  <c r="D2" i="1"/>
</calcChain>
</file>

<file path=xl/sharedStrings.xml><?xml version="1.0" encoding="utf-8"?>
<sst xmlns="http://schemas.openxmlformats.org/spreadsheetml/2006/main" count="25" uniqueCount="24">
  <si>
    <t>itemId</t>
  </si>
  <si>
    <t>weaponDamage</t>
    <phoneticPr fontId="1"/>
  </si>
  <si>
    <t>FireMode</t>
    <phoneticPr fontId="1"/>
  </si>
  <si>
    <t>comment</t>
    <phoneticPr fontId="1"/>
  </si>
  <si>
    <t>fireRate</t>
    <phoneticPr fontId="1"/>
  </si>
  <si>
    <t>reloadTime</t>
    <phoneticPr fontId="1"/>
  </si>
  <si>
    <t>ammoType</t>
    <phoneticPr fontId="1"/>
  </si>
  <si>
    <t>magazineSize</t>
    <phoneticPr fontId="1"/>
  </si>
  <si>
    <t>ammoSpeed</t>
    <phoneticPr fontId="1"/>
  </si>
  <si>
    <t>fireAccuracy</t>
    <phoneticPr fontId="1"/>
  </si>
  <si>
    <t>recoilValue</t>
    <phoneticPr fontId="1"/>
  </si>
  <si>
    <t>adsSpeed</t>
    <phoneticPr fontId="1"/>
  </si>
  <si>
    <t>adsMultiplier</t>
    <phoneticPr fontId="1"/>
  </si>
  <si>
    <t>distanceAttenuation</t>
    <phoneticPr fontId="1"/>
  </si>
  <si>
    <t>headMultiplier</t>
    <phoneticPr fontId="1"/>
  </si>
  <si>
    <t>bodyMultiplier</t>
    <phoneticPr fontId="1"/>
  </si>
  <si>
    <t>legMultiplier</t>
    <phoneticPr fontId="1"/>
  </si>
  <si>
    <t>FullAuto</t>
    <phoneticPr fontId="1"/>
  </si>
  <si>
    <t>Burst</t>
    <phoneticPr fontId="1"/>
  </si>
  <si>
    <t>SemiAuto</t>
    <phoneticPr fontId="1"/>
  </si>
  <si>
    <t>SmallAmmo</t>
    <phoneticPr fontId="1"/>
  </si>
  <si>
    <t>MiddleAmmo</t>
    <phoneticPr fontId="1"/>
  </si>
  <si>
    <t>BigAmmo</t>
    <phoneticPr fontId="1"/>
  </si>
  <si>
    <t>ShotgunAmmo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</si>
</sst>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5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workbookViewId="0">
      <selection activeCell="Q13" sqref="Q13"/>
    </sheetView>
  </sheetViews>
  <sheetFormatPr defaultRowHeight="18.75"/>
  <sheetData>
    <row r="1" spans="1:18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3" t="s">
        <v>6</v>
      </c>
      <c r="H1" s="4" t="s">
        <v>3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5" t="s">
        <v>16</v>
      </c>
    </row>
    <row r="2" spans="1:18">
      <c r="A2" s="6">
        <v>1001</v>
      </c>
      <c r="B2" s="7">
        <v>33</v>
      </c>
      <c r="C2" s="7">
        <v>0</v>
      </c>
      <c r="D2" s="8" t="str">
        <f>VLOOKUP(C2,reference!A:B,2,FALSE)</f>
        <v>FullAuto</v>
      </c>
      <c r="E2" s="7">
        <v>0.5</v>
      </c>
      <c r="F2" s="7">
        <v>3</v>
      </c>
      <c r="G2" s="7">
        <v>2</v>
      </c>
      <c r="H2" s="8" t="str">
        <f>VLOOKUP(G2,reference!D:E,2,FALSE)</f>
        <v>BigAmmo</v>
      </c>
      <c r="I2" s="7">
        <v>30</v>
      </c>
      <c r="J2" s="7">
        <v>50</v>
      </c>
      <c r="K2" s="7">
        <v>0</v>
      </c>
      <c r="L2" s="7">
        <v>0</v>
      </c>
      <c r="M2" s="7">
        <v>0.2</v>
      </c>
      <c r="N2" s="7">
        <v>30</v>
      </c>
      <c r="O2" s="7">
        <v>0</v>
      </c>
      <c r="P2" s="7">
        <v>2</v>
      </c>
      <c r="Q2" s="7">
        <v>1</v>
      </c>
      <c r="R2" s="9">
        <v>0.8</v>
      </c>
    </row>
    <row r="3" spans="1:18">
      <c r="A3" s="6">
        <v>1002</v>
      </c>
      <c r="B3" s="7">
        <v>16</v>
      </c>
      <c r="C3" s="7">
        <v>2</v>
      </c>
      <c r="D3" s="8" t="str">
        <f>VLOOKUP(C3,reference!A:B,2,FALSE)</f>
        <v>SemiAuto</v>
      </c>
      <c r="E3" s="7">
        <v>0</v>
      </c>
      <c r="F3" s="7">
        <v>1.5</v>
      </c>
      <c r="G3" s="7">
        <v>0</v>
      </c>
      <c r="H3" s="8" t="str">
        <f>VLOOKUP(G3,reference!D:E,2,FALSE)</f>
        <v>SmallAmmo</v>
      </c>
      <c r="I3" s="7">
        <v>16</v>
      </c>
      <c r="J3" s="7">
        <v>10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2</v>
      </c>
      <c r="Q3" s="7">
        <v>1</v>
      </c>
      <c r="R3" s="9">
        <v>0.8</v>
      </c>
    </row>
    <row r="4" spans="1:18">
      <c r="A4" s="6">
        <v>1003</v>
      </c>
      <c r="B4" s="7">
        <v>9</v>
      </c>
      <c r="C4" s="7">
        <v>2</v>
      </c>
      <c r="D4" s="8" t="str">
        <f>VLOOKUP(C4,reference!A:B,2,FALSE)</f>
        <v>SemiAuto</v>
      </c>
      <c r="E4" s="7">
        <v>0</v>
      </c>
      <c r="F4" s="7">
        <v>0.5</v>
      </c>
      <c r="G4" s="7">
        <v>3</v>
      </c>
      <c r="H4" s="8" t="str">
        <f>VLOOKUP(G4,reference!D:E,2,FALSE)</f>
        <v>ShotgunAmmo</v>
      </c>
      <c r="I4" s="7">
        <v>5</v>
      </c>
      <c r="J4" s="7">
        <v>40</v>
      </c>
      <c r="K4" s="7">
        <v>5</v>
      </c>
      <c r="L4" s="7">
        <v>0</v>
      </c>
      <c r="M4" s="7">
        <v>0.2</v>
      </c>
      <c r="N4" s="7">
        <v>40</v>
      </c>
      <c r="O4" s="7">
        <v>0</v>
      </c>
      <c r="P4" s="7">
        <v>2</v>
      </c>
      <c r="Q4" s="7">
        <v>1</v>
      </c>
      <c r="R4" s="9">
        <v>0.8</v>
      </c>
    </row>
    <row r="5" spans="1:18" ht="19.5" thickBot="1">
      <c r="A5" s="10">
        <v>1004</v>
      </c>
      <c r="B5" s="11">
        <v>12</v>
      </c>
      <c r="C5" s="11">
        <v>0</v>
      </c>
      <c r="D5" s="8" t="str">
        <f>VLOOKUP(C5,reference!A:B,2,FALSE)</f>
        <v>FullAuto</v>
      </c>
      <c r="E5" s="11">
        <v>0.05</v>
      </c>
      <c r="F5" s="11">
        <v>1.5</v>
      </c>
      <c r="G5" s="11">
        <v>1</v>
      </c>
      <c r="H5" s="8" t="str">
        <f>VLOOKUP(G5,reference!D:E,2,FALSE)</f>
        <v>MiddleAmmo</v>
      </c>
      <c r="I5" s="11">
        <v>30</v>
      </c>
      <c r="J5" s="11">
        <v>50</v>
      </c>
      <c r="K5" s="11">
        <v>0</v>
      </c>
      <c r="L5" s="11">
        <v>0</v>
      </c>
      <c r="M5" s="11">
        <v>1</v>
      </c>
      <c r="N5" s="11">
        <v>40</v>
      </c>
      <c r="O5" s="11">
        <v>0</v>
      </c>
      <c r="P5" s="11">
        <v>2</v>
      </c>
      <c r="Q5" s="11">
        <v>1</v>
      </c>
      <c r="R5" s="12">
        <v>0.8</v>
      </c>
    </row>
  </sheetData>
  <phoneticPr fontId="1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43B4136-6733-439C-9ED0-89D86558AC97}">
          <x14:formula1>
            <xm:f>reference!$A:$A</xm:f>
          </x14:formula1>
          <xm:sqref>C1:C1048576</xm:sqref>
        </x14:dataValidation>
        <x14:dataValidation type="list" allowBlank="1" showInputMessage="1" showErrorMessage="1" xr:uid="{18C17F3B-E79D-445E-A578-5E62F33171C2}">
          <x14:formula1>
            <xm:f>reference!$D:$D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E14AE-5875-491C-8D76-7AF6936758A3}">
  <dimension ref="A1:E4"/>
  <sheetViews>
    <sheetView workbookViewId="0">
      <selection activeCell="E7" sqref="E7"/>
    </sheetView>
  </sheetViews>
  <sheetFormatPr defaultRowHeight="18.75"/>
  <cols>
    <col min="5" max="5" width="20" customWidth="1"/>
  </cols>
  <sheetData>
    <row r="1" spans="1:5">
      <c r="A1" s="13">
        <v>0</v>
      </c>
      <c r="B1" s="14" t="s">
        <v>17</v>
      </c>
      <c r="D1" s="13">
        <v>0</v>
      </c>
      <c r="E1" s="14" t="s">
        <v>20</v>
      </c>
    </row>
    <row r="2" spans="1:5">
      <c r="A2" s="15">
        <v>1</v>
      </c>
      <c r="B2" s="16" t="s">
        <v>18</v>
      </c>
      <c r="D2" s="15">
        <v>1</v>
      </c>
      <c r="E2" s="16" t="s">
        <v>21</v>
      </c>
    </row>
    <row r="3" spans="1:5" ht="19.5" thickBot="1">
      <c r="A3" s="17">
        <v>2</v>
      </c>
      <c r="B3" s="18" t="s">
        <v>19</v>
      </c>
      <c r="D3" s="15">
        <v>2</v>
      </c>
      <c r="E3" s="16" t="s">
        <v>22</v>
      </c>
    </row>
    <row r="4" spans="1:5" ht="19.5" thickBot="1">
      <c r="D4" s="17">
        <v>3</v>
      </c>
      <c r="E4" s="18" t="s">
        <v>23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Weapons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student3</dc:creator>
  <cp:lastModifiedBy>student3</cp:lastModifiedBy>
  <dcterms:created xsi:type="dcterms:W3CDTF">2015-06-05T18:19:34Z</dcterms:created>
  <dcterms:modified xsi:type="dcterms:W3CDTF">2026-10-21T04:49:12Z</dcterms:modified>
</cp:coreProperties>
</file>